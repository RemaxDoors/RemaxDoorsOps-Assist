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izemE\Documents\RemaxDoorsOps_Assist\docs\"/>
    </mc:Choice>
  </mc:AlternateContent>
  <xr:revisionPtr revIDLastSave="0" documentId="13_ncr:1_{63C97E42-968A-4F97-A0AF-479F547F9634}" xr6:coauthVersionLast="47" xr6:coauthVersionMax="47" xr10:uidLastSave="{00000000-0000-0000-0000-000000000000}"/>
  <bookViews>
    <workbookView xWindow="19920" yWindow="-16320" windowWidth="29040" windowHeight="15720" activeTab="1" xr2:uid="{00000000-000D-0000-FFFF-FFFF00000000}"/>
  </bookViews>
  <sheets>
    <sheet name="Start here" sheetId="1" r:id="rId1"/>
    <sheet name="Test script" sheetId="2" r:id="rId2"/>
    <sheet name="Feedback" sheetId="3" r:id="rId3"/>
  </sheets>
  <definedNames>
    <definedName name="_xlnm._FilterDatabase" localSheetId="1" hidden="1">'Test script'!$A$4:$G$34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B20" i="1"/>
  <c r="B19" i="1"/>
  <c r="B18" i="1"/>
  <c r="B22" i="1" s="1"/>
</calcChain>
</file>

<file path=xl/sharedStrings.xml><?xml version="1.0" encoding="utf-8"?>
<sst xmlns="http://schemas.openxmlformats.org/spreadsheetml/2006/main" count="170" uniqueCount="117">
  <si>
    <t>Operation Help — user acceptance testing</t>
  </si>
  <si>
    <t>Please work through the 'Test script' tab and fill in the yellow cells. It should take about 30 minutes.</t>
  </si>
  <si>
    <t>Before you start</t>
  </si>
  <si>
    <t>1.</t>
  </si>
  <si>
    <t>Open the app and go to the System page, or look at the footer on any page. Write the version below.</t>
  </si>
  <si>
    <t>2.</t>
  </si>
  <si>
    <t>Do the tests on the device you would normally use — phone on the floor, laptop at a desk.</t>
  </si>
  <si>
    <t>3.</t>
  </si>
  <si>
    <t>If something fails, keep going. Later tests are still worth running.</t>
  </si>
  <si>
    <t>Your details</t>
  </si>
  <si>
    <t>Your name</t>
  </si>
  <si>
    <t>Date tested</t>
  </si>
  <si>
    <t>Device</t>
  </si>
  <si>
    <t>Choose from the list</t>
  </si>
  <si>
    <t>Browser</t>
  </si>
  <si>
    <t>App version</t>
  </si>
  <si>
    <t>e.g. 1.0.0-uat.1 (6cc3312)</t>
  </si>
  <si>
    <t>Your results so far</t>
  </si>
  <si>
    <t>Passed</t>
  </si>
  <si>
    <t>Failed</t>
  </si>
  <si>
    <t>Blocked (could not test)</t>
  </si>
  <si>
    <t>Not tested yet</t>
  </si>
  <si>
    <t>Total steps</t>
  </si>
  <si>
    <t>These count themselves as you fill in the Result column. Nothing to do here.</t>
  </si>
  <si>
    <t>Test script</t>
  </si>
  <si>
    <t>Fill in the yellow columns: Result, and What actually happened. Leave the rest alone.</t>
  </si>
  <si>
    <t>If a message appears, copy its exact words — "Could not reach the server" and "Your sign-in has expired" mean two completely different faults.</t>
  </si>
  <si>
    <t>#</t>
  </si>
  <si>
    <t>Area</t>
  </si>
  <si>
    <t>What to do</t>
  </si>
  <si>
    <t>What you should see</t>
  </si>
  <si>
    <t>Result</t>
  </si>
  <si>
    <t>What actually happened</t>
  </si>
  <si>
    <t>Screenshot taken?</t>
  </si>
  <si>
    <t>EX</t>
  </si>
  <si>
    <t>Example</t>
  </si>
  <si>
    <t>Open the app on your phone</t>
  </si>
  <si>
    <t>The dashboard appears without asking me to sign in twice</t>
  </si>
  <si>
    <t>Fail</t>
  </si>
  <si>
    <t>It asked me to pick between two Microsoft accounts</t>
  </si>
  <si>
    <t>Yes</t>
  </si>
  <si>
    <t>Login</t>
  </si>
  <si>
    <t>Open the app link in a browser you have not used for it before</t>
  </si>
  <si>
    <t>Microsoft sign-in appears, then the dashboard</t>
  </si>
  <si>
    <t>Not tested</t>
  </si>
  <si>
    <t>Look at the top right of the page</t>
  </si>
  <si>
    <t>Your name, with no ' | Remax Doors' after it</t>
  </si>
  <si>
    <t>Close the tab, then open the link again</t>
  </si>
  <si>
    <t>Straight in — no second sign-in</t>
  </si>
  <si>
    <t>Note whether you were asked to choose between two Microsoft accounts</t>
  </si>
  <si>
    <t>You should NOT be asked. If you were, write which accounts in the notes</t>
  </si>
  <si>
    <t>Search</t>
  </si>
  <si>
    <t>Add NCR &gt; Simpro job &gt; type 605787 &gt; Fetch job</t>
  </si>
  <si>
    <t>Job details fill in (customer, site, description)</t>
  </si>
  <si>
    <t>Try a project job: 605929 &gt; Fetch job</t>
  </si>
  <si>
    <t>Job details fill in the same way</t>
  </si>
  <si>
    <t>Type a number that does not exist, e.g. 999999 &gt; Fetch job</t>
  </si>
  <si>
    <t>A plain-English message, not a code or raw error</t>
  </si>
  <si>
    <t>Choose M1 job instead and search a job number you know</t>
  </si>
  <si>
    <t>Matching M1 jobs are listed</t>
  </si>
  <si>
    <t>Choose 'No job'</t>
  </si>
  <si>
    <t>The wizard lets you continue without a job</t>
  </si>
  <si>
    <t>Adding photos</t>
  </si>
  <si>
    <t>On the Photos step, attach one photo from your camera</t>
  </si>
  <si>
    <t>The photo is listed with its name</t>
  </si>
  <si>
    <t>Attach three or four photos at once</t>
  </si>
  <si>
    <t>All of them are listed</t>
  </si>
  <si>
    <t>Try attaching a file larger than 15MB</t>
  </si>
  <si>
    <t>It is skipped, with a message saying why</t>
  </si>
  <si>
    <t>Submit</t>
  </si>
  <si>
    <t>Complete the wizard and press Save</t>
  </si>
  <si>
    <t>An NCR number is shown back to you</t>
  </si>
  <si>
    <t>Open that NCR number in M1</t>
  </si>
  <si>
    <t>The record is there, with the same number and your description</t>
  </si>
  <si>
    <t>On the NCR screen, check 'Reported by' and 'Entered by'</t>
  </si>
  <si>
    <t>'Reported by' is the employee you picked; 'Entered by' is your own name</t>
  </si>
  <si>
    <t>Check the Simpro job, severity, hours and cost on the NCR screen</t>
  </si>
  <si>
    <t>They match what you entered</t>
  </si>
  <si>
    <t>Update existing NCR</t>
  </si>
  <si>
    <t>Open an existing NCR from the NCR list</t>
  </si>
  <si>
    <t>The NCR opens and shows its details</t>
  </si>
  <si>
    <t>Write a corrective action and Save WITHOUT ticking complete</t>
  </si>
  <si>
    <t>Saved, and the NCR stays Open</t>
  </si>
  <si>
    <t>Type something into 'NCR response / notes' and Save</t>
  </si>
  <si>
    <t>The text is still there after the page refreshes</t>
  </si>
  <si>
    <t>Tick 'Signed off' and Save (leave the person blank)</t>
  </si>
  <si>
    <t>It saves — the name is optional</t>
  </si>
  <si>
    <t>Tick 'Signed off', choose a person and Save</t>
  </si>
  <si>
    <t>Saved, and a sign-off date appears</t>
  </si>
  <si>
    <t>Change the corrective action wording and Save again</t>
  </si>
  <si>
    <t>The sign-off date does NOT move</t>
  </si>
  <si>
    <t>Save</t>
  </si>
  <si>
    <t>Tick 'Corrective action complete' and Save</t>
  </si>
  <si>
    <t>The NCR shows as Closed</t>
  </si>
  <si>
    <t>Untick 'Corrective action complete' and Save</t>
  </si>
  <si>
    <t>The NCR reopens</t>
  </si>
  <si>
    <t>Fill in a whole NCR, leave the page open for an hour, then Save</t>
  </si>
  <si>
    <t>It saves. If it fails, copy the EXACT message — this one matters most</t>
  </si>
  <si>
    <t>Create task for NCR</t>
  </si>
  <si>
    <t>From a saved NCR, press Create Simpro task and fill it in</t>
  </si>
  <si>
    <t>The task appears in Simpro against the right job</t>
  </si>
  <si>
    <t>Try creating a second task on the same NCR</t>
  </si>
  <si>
    <t>Refused, and it names the task that already exists</t>
  </si>
  <si>
    <t>Reopen the NCR</t>
  </si>
  <si>
    <t>The Simpro task number is shown on the NCR</t>
  </si>
  <si>
    <t>Do the same on your phone</t>
  </si>
  <si>
    <t>Works the same as on a computer</t>
  </si>
  <si>
    <t>Feedback</t>
  </si>
  <si>
    <t>Anything that would make this quicker or clearer on the job. Wording, missing fields, extra taps, anything at all.</t>
  </si>
  <si>
    <t>Which screen</t>
  </si>
  <si>
    <t>What would make this easier?</t>
  </si>
  <si>
    <t>How important</t>
  </si>
  <si>
    <t>Anything else</t>
  </si>
  <si>
    <t>Add NCR</t>
  </si>
  <si>
    <t>Let me pick a common fault from a list instead of typing it</t>
  </si>
  <si>
    <t>Would help a lot</t>
  </si>
  <si>
    <t>Most of mine are the same three faults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</si>
</sst>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B1E21"/>
      <name val="Arial"/>
    </font>
    <font>
      <sz val="10"/>
      <color rgb="FF6B7280"/>
      <name val="Arial"/>
    </font>
    <font>
      <sz val="10"/>
      <color rgb="FF1B1E21"/>
      <name val="Arial"/>
    </font>
    <font>
      <b/>
      <sz val="10"/>
      <color rgb="FF1B1E21"/>
      <name val="Arial"/>
    </font>
    <font>
      <b/>
      <sz val="12"/>
      <color rgb="FFC8102E"/>
      <name val="Arial"/>
    </font>
    <font>
      <b/>
      <sz val="10"/>
      <color rgb="FFC8102E"/>
      <name val="Arial"/>
    </font>
    <font>
      <b/>
      <sz val="10"/>
      <color rgb="FFFFFFFF"/>
      <name val="Arial"/>
    </font>
    <font>
      <i/>
      <sz val="10"/>
      <color rgb="FF1D4ED8"/>
      <name val="Arial"/>
    </font>
  </fonts>
  <fills count="6">
    <fill>
      <patternFill patternType="none"/>
    </fill>
    <fill>
      <patternFill patternType="gray125"/>
    </fill>
    <fill>
      <patternFill patternType="solid">
        <fgColor rgb="FFFFF9DB"/>
      </patternFill>
    </fill>
    <fill>
      <patternFill patternType="solid">
        <fgColor rgb="FF1B1E21"/>
      </patternFill>
    </fill>
    <fill>
      <patternFill patternType="solid">
        <fgColor rgb="FFEEF6FF"/>
      </patternFill>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5" fillId="0" borderId="0" xfId="0" applyFont="1"/>
    <xf numFmtId="0" fontId="4" fillId="0" borderId="0" xfId="0" applyFont="1"/>
    <xf numFmtId="0" fontId="3" fillId="2" borderId="1" xfId="0" applyFont="1" applyFill="1" applyBorder="1"/>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vertical="top" wrapText="1"/>
    </xf>
    <xf numFmtId="0" fontId="7" fillId="3" borderId="1" xfId="0" applyFont="1" applyFill="1" applyBorder="1" applyAlignment="1">
      <alignment horizontal="center" vertical="center" wrapText="1"/>
    </xf>
    <xf numFmtId="0" fontId="8" fillId="4" borderId="1" xfId="0" applyFont="1" applyFill="1" applyBorder="1" applyAlignment="1">
      <alignment vertical="top" wrapText="1"/>
    </xf>
    <xf numFmtId="0" fontId="3" fillId="5" borderId="1" xfId="0" applyFont="1" applyFill="1" applyBorder="1" applyAlignment="1">
      <alignment horizontal="center" vertical="center"/>
    </xf>
    <xf numFmtId="0" fontId="4" fillId="5" borderId="1" xfId="0" applyFont="1" applyFill="1" applyBorder="1" applyAlignment="1">
      <alignment vertical="top" wrapText="1"/>
    </xf>
    <xf numFmtId="0" fontId="3" fillId="5" borderId="1" xfId="0" applyFont="1" applyFill="1" applyBorder="1" applyAlignment="1">
      <alignment vertical="top" wrapText="1"/>
    </xf>
    <xf numFmtId="0" fontId="3" fillId="2" borderId="1" xfId="0" applyFont="1" applyFill="1" applyBorder="1" applyAlignment="1">
      <alignment horizontal="center" vertical="center"/>
    </xf>
    <xf numFmtId="0" fontId="3" fillId="2" borderId="1" xfId="0" applyFont="1" applyFill="1" applyBorder="1" applyAlignment="1">
      <alignment vertical="top"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8" fillId="4" borderId="1" xfId="0" applyFont="1" applyFill="1" applyBorder="1"/>
  </cellXfs>
  <cellStyles count="1">
    <cellStyle name="Normal" xfId="0" builtinId="0"/>
  </cellStyles>
  <dxfs count="3">
    <dxf>
      <font>
        <b/>
        <sz val="10"/>
        <color rgb="FF7C2D12"/>
        <name val="Arial"/>
      </font>
      <fill>
        <patternFill patternType="solid">
          <fgColor rgb="FFFFEDD5"/>
        </patternFill>
      </fill>
    </dxf>
    <dxf>
      <font>
        <b/>
        <sz val="10"/>
        <color rgb="FF14532D"/>
        <name val="Arial"/>
      </font>
      <fill>
        <patternFill patternType="solid">
          <fgColor rgb="FFDCFCE7"/>
        </patternFill>
      </fill>
    </dxf>
    <dxf>
      <font>
        <b/>
        <sz val="10"/>
        <color rgb="FFFFFFFF"/>
        <name val="Arial"/>
      </font>
      <fill>
        <patternFill patternType="solid">
          <fgColor rgb="FFC8102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workbookViewId="0"/>
  </sheetViews>
  <sheetFormatPr defaultRowHeight="14.4" x14ac:dyDescent="0.3"/>
  <cols>
    <col min="1" max="1" width="26" customWidth="1"/>
    <col min="2" max="2" width="46" customWidth="1"/>
    <col min="3" max="3" width="40" customWidth="1"/>
  </cols>
  <sheetData>
    <row r="1" spans="1:3" ht="21" x14ac:dyDescent="0.4">
      <c r="A1" s="1" t="s">
        <v>0</v>
      </c>
    </row>
    <row r="2" spans="1:3" x14ac:dyDescent="0.3">
      <c r="A2" s="2" t="s">
        <v>1</v>
      </c>
    </row>
    <row r="4" spans="1:3" x14ac:dyDescent="0.3">
      <c r="A4" s="3"/>
      <c r="B4" s="4"/>
    </row>
    <row r="5" spans="1:3" ht="15.6" x14ac:dyDescent="0.3">
      <c r="A5" s="5" t="s">
        <v>2</v>
      </c>
      <c r="B5" s="4"/>
    </row>
    <row r="6" spans="1:3" ht="26.4" x14ac:dyDescent="0.3">
      <c r="A6" s="3" t="s">
        <v>3</v>
      </c>
      <c r="B6" s="4" t="s">
        <v>4</v>
      </c>
    </row>
    <row r="7" spans="1:3" ht="26.4" x14ac:dyDescent="0.3">
      <c r="A7" s="3" t="s">
        <v>5</v>
      </c>
      <c r="B7" s="4" t="s">
        <v>6</v>
      </c>
    </row>
    <row r="8" spans="1:3" ht="26.4" x14ac:dyDescent="0.3">
      <c r="A8" s="3" t="s">
        <v>7</v>
      </c>
      <c r="B8" s="4" t="s">
        <v>8</v>
      </c>
    </row>
    <row r="9" spans="1:3" x14ac:dyDescent="0.3">
      <c r="A9" s="3"/>
      <c r="B9" s="4"/>
    </row>
    <row r="10" spans="1:3" ht="15.6" x14ac:dyDescent="0.3">
      <c r="A10" s="5" t="s">
        <v>9</v>
      </c>
      <c r="B10" s="4"/>
    </row>
    <row r="11" spans="1:3" x14ac:dyDescent="0.3">
      <c r="A11" s="6" t="s">
        <v>10</v>
      </c>
      <c r="B11" s="7"/>
      <c r="C11" s="2"/>
    </row>
    <row r="12" spans="1:3" x14ac:dyDescent="0.3">
      <c r="A12" s="6" t="s">
        <v>11</v>
      </c>
      <c r="B12" s="7"/>
      <c r="C12" s="2"/>
    </row>
    <row r="13" spans="1:3" x14ac:dyDescent="0.3">
      <c r="A13" s="6" t="s">
        <v>12</v>
      </c>
      <c r="B13" s="7"/>
      <c r="C13" s="2" t="s">
        <v>13</v>
      </c>
    </row>
    <row r="14" spans="1:3" x14ac:dyDescent="0.3">
      <c r="A14" s="6" t="s">
        <v>14</v>
      </c>
      <c r="B14" s="7"/>
      <c r="C14" s="2" t="s">
        <v>13</v>
      </c>
    </row>
    <row r="15" spans="1:3" x14ac:dyDescent="0.3">
      <c r="A15" s="6" t="s">
        <v>15</v>
      </c>
      <c r="B15" s="7"/>
      <c r="C15" s="2" t="s">
        <v>16</v>
      </c>
    </row>
    <row r="17" spans="1:2" ht="15.6" x14ac:dyDescent="0.3">
      <c r="A17" s="5" t="s">
        <v>17</v>
      </c>
    </row>
    <row r="18" spans="1:2" x14ac:dyDescent="0.3">
      <c r="A18" s="3" t="s">
        <v>18</v>
      </c>
      <c r="B18" s="8">
        <f>COUNTIF('Test script'!$E$6:$E$54,"Pass")</f>
        <v>0</v>
      </c>
    </row>
    <row r="19" spans="1:2" x14ac:dyDescent="0.3">
      <c r="A19" s="3" t="s">
        <v>19</v>
      </c>
      <c r="B19" s="8">
        <f>COUNTIF('Test script'!$E$6:$E$54,"Fail")</f>
        <v>0</v>
      </c>
    </row>
    <row r="20" spans="1:2" x14ac:dyDescent="0.3">
      <c r="A20" s="3" t="s">
        <v>20</v>
      </c>
      <c r="B20" s="8">
        <f>COUNTIF('Test script'!$E$6:$E$54,"Blocked")</f>
        <v>0</v>
      </c>
    </row>
    <row r="21" spans="1:2" x14ac:dyDescent="0.3">
      <c r="A21" s="3" t="s">
        <v>21</v>
      </c>
      <c r="B21" s="8">
        <f>COUNTIF('Test script'!$E$6:$E$54,"Not tested")</f>
        <v>29</v>
      </c>
    </row>
    <row r="22" spans="1:2" x14ac:dyDescent="0.3">
      <c r="A22" s="6" t="s">
        <v>22</v>
      </c>
      <c r="B22" s="9">
        <f>SUM(B18:B21)</f>
        <v>29</v>
      </c>
    </row>
    <row r="24" spans="1:2" x14ac:dyDescent="0.3">
      <c r="A24" s="2" t="s">
        <v>23</v>
      </c>
    </row>
  </sheetData>
  <dataValidations count="2">
    <dataValidation type="list" allowBlank="1" sqref="B13" xr:uid="{00000000-0002-0000-0000-000000000000}">
      <formula1>"Phone,Tablet,Laptop,Desktop"</formula1>
    </dataValidation>
    <dataValidation type="list" allowBlank="1" sqref="B14" xr:uid="{00000000-0002-0000-0000-000001000000}">
      <formula1>"Chrome,Edge,Safari,Firefox,Other"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showGridLines="0" tabSelected="1" workbookViewId="0">
      <pane ySplit="4" topLeftCell="A5" activePane="bottomLeft" state="frozen"/>
      <selection pane="bottomLeft" activeCell="A12" sqref="A12"/>
    </sheetView>
  </sheetViews>
  <sheetFormatPr defaultRowHeight="14.4" x14ac:dyDescent="0.3"/>
  <cols>
    <col min="1" max="1" width="71.33203125" bestFit="1" customWidth="1"/>
    <col min="2" max="2" width="20" customWidth="1"/>
    <col min="3" max="4" width="46" customWidth="1"/>
    <col min="5" max="5" width="13" customWidth="1"/>
    <col min="6" max="6" width="44" customWidth="1"/>
    <col min="7" max="7" width="11" customWidth="1"/>
  </cols>
  <sheetData>
    <row r="1" spans="1:7" ht="21" x14ac:dyDescent="0.4">
      <c r="A1" s="1" t="s">
        <v>24</v>
      </c>
    </row>
    <row r="2" spans="1:7" x14ac:dyDescent="0.3">
      <c r="A2" s="2" t="s">
        <v>25</v>
      </c>
    </row>
    <row r="3" spans="1:7" ht="26.4" x14ac:dyDescent="0.3">
      <c r="A3" s="10" t="s">
        <v>26</v>
      </c>
    </row>
    <row r="4" spans="1:7" ht="30" customHeight="1" x14ac:dyDescent="0.3">
      <c r="A4" s="11" t="s">
        <v>27</v>
      </c>
      <c r="B4" s="11" t="s">
        <v>28</v>
      </c>
      <c r="C4" s="11" t="s">
        <v>29</v>
      </c>
      <c r="D4" s="11" t="s">
        <v>30</v>
      </c>
      <c r="E4" s="11" t="s">
        <v>31</v>
      </c>
      <c r="F4" s="11" t="s">
        <v>32</v>
      </c>
      <c r="G4" s="11" t="s">
        <v>33</v>
      </c>
    </row>
    <row r="5" spans="1:7" ht="31.95" customHeight="1" x14ac:dyDescent="0.3">
      <c r="A5" s="12" t="s">
        <v>34</v>
      </c>
      <c r="B5" s="12" t="s">
        <v>35</v>
      </c>
      <c r="C5" s="12" t="s">
        <v>36</v>
      </c>
      <c r="D5" s="12" t="s">
        <v>37</v>
      </c>
      <c r="E5" s="12" t="s">
        <v>38</v>
      </c>
      <c r="F5" s="12" t="s">
        <v>39</v>
      </c>
      <c r="G5" s="12" t="s">
        <v>40</v>
      </c>
    </row>
    <row r="6" spans="1:7" ht="31.95" customHeight="1" x14ac:dyDescent="0.3">
      <c r="A6" s="13">
        <v>1</v>
      </c>
      <c r="B6" s="14" t="s">
        <v>41</v>
      </c>
      <c r="C6" s="15" t="s">
        <v>42</v>
      </c>
      <c r="D6" s="15" t="s">
        <v>43</v>
      </c>
      <c r="E6" s="16" t="s">
        <v>44</v>
      </c>
      <c r="F6" s="17"/>
      <c r="G6" s="16"/>
    </row>
    <row r="7" spans="1:7" ht="31.95" customHeight="1" x14ac:dyDescent="0.3">
      <c r="A7" s="18">
        <v>2</v>
      </c>
      <c r="B7" s="19" t="s">
        <v>41</v>
      </c>
      <c r="C7" s="19" t="s">
        <v>45</v>
      </c>
      <c r="D7" s="19" t="s">
        <v>46</v>
      </c>
      <c r="E7" s="16" t="s">
        <v>44</v>
      </c>
      <c r="F7" s="17"/>
      <c r="G7" s="16"/>
    </row>
    <row r="8" spans="1:7" ht="31.95" customHeight="1" x14ac:dyDescent="0.3">
      <c r="A8" s="18">
        <v>3</v>
      </c>
      <c r="B8" s="19" t="s">
        <v>41</v>
      </c>
      <c r="C8" s="19" t="s">
        <v>47</v>
      </c>
      <c r="D8" s="19" t="s">
        <v>48</v>
      </c>
      <c r="E8" s="16" t="s">
        <v>44</v>
      </c>
      <c r="F8" s="17"/>
      <c r="G8" s="16"/>
    </row>
    <row r="9" spans="1:7" ht="31.95" customHeight="1" x14ac:dyDescent="0.3">
      <c r="A9" s="18">
        <v>4</v>
      </c>
      <c r="B9" s="19" t="s">
        <v>41</v>
      </c>
      <c r="C9" s="19" t="s">
        <v>49</v>
      </c>
      <c r="D9" s="19" t="s">
        <v>50</v>
      </c>
      <c r="E9" s="16" t="s">
        <v>44</v>
      </c>
      <c r="F9" s="17"/>
      <c r="G9" s="16"/>
    </row>
    <row r="10" spans="1:7" ht="31.95" customHeight="1" x14ac:dyDescent="0.3">
      <c r="A10" s="13">
        <v>5</v>
      </c>
      <c r="B10" s="14" t="s">
        <v>51</v>
      </c>
      <c r="C10" s="15" t="s">
        <v>52</v>
      </c>
      <c r="D10" s="15" t="s">
        <v>53</v>
      </c>
      <c r="E10" s="16" t="s">
        <v>44</v>
      </c>
      <c r="F10" s="17"/>
      <c r="G10" s="16"/>
    </row>
    <row r="11" spans="1:7" ht="31.95" customHeight="1" x14ac:dyDescent="0.3">
      <c r="A11" s="18">
        <v>6</v>
      </c>
      <c r="B11" s="19" t="s">
        <v>51</v>
      </c>
      <c r="C11" s="19" t="s">
        <v>54</v>
      </c>
      <c r="D11" s="19" t="s">
        <v>55</v>
      </c>
      <c r="E11" s="16" t="s">
        <v>44</v>
      </c>
      <c r="F11" s="17"/>
      <c r="G11" s="16"/>
    </row>
    <row r="12" spans="1:7" ht="31.95" customHeight="1" x14ac:dyDescent="0.3">
      <c r="A12" s="18">
        <v>7</v>
      </c>
      <c r="B12" s="19" t="s">
        <v>51</v>
      </c>
      <c r="C12" s="19" t="s">
        <v>56</v>
      </c>
      <c r="D12" s="19" t="s">
        <v>57</v>
      </c>
      <c r="E12" s="16" t="s">
        <v>44</v>
      </c>
      <c r="F12" s="17"/>
      <c r="G12" s="16"/>
    </row>
    <row r="13" spans="1:7" ht="31.95" customHeight="1" x14ac:dyDescent="0.3">
      <c r="A13" s="18">
        <v>8</v>
      </c>
      <c r="B13" s="19" t="s">
        <v>51</v>
      </c>
      <c r="C13" s="19" t="s">
        <v>58</v>
      </c>
      <c r="D13" s="19" t="s">
        <v>59</v>
      </c>
      <c r="E13" s="16" t="s">
        <v>44</v>
      </c>
      <c r="F13" s="17"/>
      <c r="G13" s="16"/>
    </row>
    <row r="14" spans="1:7" ht="31.95" customHeight="1" x14ac:dyDescent="0.3">
      <c r="A14" s="18">
        <v>9</v>
      </c>
      <c r="B14" s="19" t="s">
        <v>51</v>
      </c>
      <c r="C14" s="19" t="s">
        <v>60</v>
      </c>
      <c r="D14" s="19" t="s">
        <v>61</v>
      </c>
      <c r="E14" s="16" t="s">
        <v>44</v>
      </c>
      <c r="F14" s="17"/>
      <c r="G14" s="16"/>
    </row>
    <row r="15" spans="1:7" ht="31.95" customHeight="1" x14ac:dyDescent="0.3">
      <c r="A15" s="13">
        <v>10</v>
      </c>
      <c r="B15" s="14" t="s">
        <v>62</v>
      </c>
      <c r="C15" s="15" t="s">
        <v>63</v>
      </c>
      <c r="D15" s="15" t="s">
        <v>64</v>
      </c>
      <c r="E15" s="16" t="s">
        <v>44</v>
      </c>
      <c r="F15" s="17"/>
      <c r="G15" s="16"/>
    </row>
    <row r="16" spans="1:7" ht="31.95" customHeight="1" x14ac:dyDescent="0.3">
      <c r="A16" s="18">
        <v>11</v>
      </c>
      <c r="B16" s="19" t="s">
        <v>62</v>
      </c>
      <c r="C16" s="19" t="s">
        <v>65</v>
      </c>
      <c r="D16" s="19" t="s">
        <v>66</v>
      </c>
      <c r="E16" s="16" t="s">
        <v>44</v>
      </c>
      <c r="F16" s="17"/>
      <c r="G16" s="16"/>
    </row>
    <row r="17" spans="1:7" ht="31.95" customHeight="1" x14ac:dyDescent="0.3">
      <c r="A17" s="18">
        <v>12</v>
      </c>
      <c r="B17" s="19" t="s">
        <v>62</v>
      </c>
      <c r="C17" s="19" t="s">
        <v>67</v>
      </c>
      <c r="D17" s="19" t="s">
        <v>68</v>
      </c>
      <c r="E17" s="16" t="s">
        <v>44</v>
      </c>
      <c r="F17" s="17"/>
      <c r="G17" s="16"/>
    </row>
    <row r="18" spans="1:7" ht="31.95" customHeight="1" x14ac:dyDescent="0.3">
      <c r="A18" s="13">
        <v>13</v>
      </c>
      <c r="B18" s="14" t="s">
        <v>69</v>
      </c>
      <c r="C18" s="15" t="s">
        <v>70</v>
      </c>
      <c r="D18" s="15" t="s">
        <v>71</v>
      </c>
      <c r="E18" s="16" t="s">
        <v>44</v>
      </c>
      <c r="F18" s="17"/>
      <c r="G18" s="16"/>
    </row>
    <row r="19" spans="1:7" ht="31.95" customHeight="1" x14ac:dyDescent="0.3">
      <c r="A19" s="18">
        <v>14</v>
      </c>
      <c r="B19" s="19" t="s">
        <v>69</v>
      </c>
      <c r="C19" s="19" t="s">
        <v>72</v>
      </c>
      <c r="D19" s="19" t="s">
        <v>73</v>
      </c>
      <c r="E19" s="16" t="s">
        <v>44</v>
      </c>
      <c r="F19" s="17"/>
      <c r="G19" s="16"/>
    </row>
    <row r="20" spans="1:7" ht="31.95" customHeight="1" x14ac:dyDescent="0.3">
      <c r="A20" s="18">
        <v>15</v>
      </c>
      <c r="B20" s="19" t="s">
        <v>69</v>
      </c>
      <c r="C20" s="19" t="s">
        <v>74</v>
      </c>
      <c r="D20" s="19" t="s">
        <v>75</v>
      </c>
      <c r="E20" s="16" t="s">
        <v>44</v>
      </c>
      <c r="F20" s="17"/>
      <c r="G20" s="16"/>
    </row>
    <row r="21" spans="1:7" ht="31.95" customHeight="1" x14ac:dyDescent="0.3">
      <c r="A21" s="18">
        <v>16</v>
      </c>
      <c r="B21" s="19" t="s">
        <v>69</v>
      </c>
      <c r="C21" s="19" t="s">
        <v>76</v>
      </c>
      <c r="D21" s="19" t="s">
        <v>77</v>
      </c>
      <c r="E21" s="16" t="s">
        <v>44</v>
      </c>
      <c r="F21" s="17"/>
      <c r="G21" s="16"/>
    </row>
    <row r="22" spans="1:7" ht="31.95" customHeight="1" x14ac:dyDescent="0.3">
      <c r="A22" s="13">
        <v>17</v>
      </c>
      <c r="B22" s="14" t="s">
        <v>78</v>
      </c>
      <c r="C22" s="15" t="s">
        <v>79</v>
      </c>
      <c r="D22" s="15" t="s">
        <v>80</v>
      </c>
      <c r="E22" s="16" t="s">
        <v>44</v>
      </c>
      <c r="F22" s="17"/>
      <c r="G22" s="16"/>
    </row>
    <row r="23" spans="1:7" ht="31.95" customHeight="1" x14ac:dyDescent="0.3">
      <c r="A23" s="18">
        <v>18</v>
      </c>
      <c r="B23" s="19" t="s">
        <v>78</v>
      </c>
      <c r="C23" s="19" t="s">
        <v>81</v>
      </c>
      <c r="D23" s="19" t="s">
        <v>82</v>
      </c>
      <c r="E23" s="16" t="s">
        <v>44</v>
      </c>
      <c r="F23" s="17"/>
      <c r="G23" s="16"/>
    </row>
    <row r="24" spans="1:7" ht="31.95" customHeight="1" x14ac:dyDescent="0.3">
      <c r="A24" s="18">
        <v>19</v>
      </c>
      <c r="B24" s="19" t="s">
        <v>78</v>
      </c>
      <c r="C24" s="19" t="s">
        <v>83</v>
      </c>
      <c r="D24" s="19" t="s">
        <v>84</v>
      </c>
      <c r="E24" s="16" t="s">
        <v>44</v>
      </c>
      <c r="F24" s="17"/>
      <c r="G24" s="16"/>
    </row>
    <row r="25" spans="1:7" ht="31.95" customHeight="1" x14ac:dyDescent="0.3">
      <c r="A25" s="18">
        <v>20</v>
      </c>
      <c r="B25" s="19" t="s">
        <v>78</v>
      </c>
      <c r="C25" s="19" t="s">
        <v>85</v>
      </c>
      <c r="D25" s="19" t="s">
        <v>86</v>
      </c>
      <c r="E25" s="16" t="s">
        <v>44</v>
      </c>
      <c r="F25" s="17"/>
      <c r="G25" s="16"/>
    </row>
    <row r="26" spans="1:7" ht="31.95" customHeight="1" x14ac:dyDescent="0.3">
      <c r="A26" s="18">
        <v>21</v>
      </c>
      <c r="B26" s="19" t="s">
        <v>78</v>
      </c>
      <c r="C26" s="19" t="s">
        <v>87</v>
      </c>
      <c r="D26" s="19" t="s">
        <v>88</v>
      </c>
      <c r="E26" s="16" t="s">
        <v>44</v>
      </c>
      <c r="F26" s="17"/>
      <c r="G26" s="16"/>
    </row>
    <row r="27" spans="1:7" ht="31.95" customHeight="1" x14ac:dyDescent="0.3">
      <c r="A27" s="18">
        <v>22</v>
      </c>
      <c r="B27" s="19" t="s">
        <v>78</v>
      </c>
      <c r="C27" s="19" t="s">
        <v>89</v>
      </c>
      <c r="D27" s="19" t="s">
        <v>90</v>
      </c>
      <c r="E27" s="16" t="s">
        <v>44</v>
      </c>
      <c r="F27" s="17"/>
      <c r="G27" s="16"/>
    </row>
    <row r="28" spans="1:7" ht="31.95" customHeight="1" x14ac:dyDescent="0.3">
      <c r="A28" s="13">
        <v>23</v>
      </c>
      <c r="B28" s="14" t="s">
        <v>91</v>
      </c>
      <c r="C28" s="15" t="s">
        <v>92</v>
      </c>
      <c r="D28" s="15" t="s">
        <v>93</v>
      </c>
      <c r="E28" s="16" t="s">
        <v>44</v>
      </c>
      <c r="F28" s="17"/>
      <c r="G28" s="16"/>
    </row>
    <row r="29" spans="1:7" ht="31.95" customHeight="1" x14ac:dyDescent="0.3">
      <c r="A29" s="18">
        <v>24</v>
      </c>
      <c r="B29" s="19" t="s">
        <v>91</v>
      </c>
      <c r="C29" s="19" t="s">
        <v>94</v>
      </c>
      <c r="D29" s="19" t="s">
        <v>95</v>
      </c>
      <c r="E29" s="16" t="s">
        <v>44</v>
      </c>
      <c r="F29" s="17"/>
      <c r="G29" s="16"/>
    </row>
    <row r="30" spans="1:7" ht="31.95" customHeight="1" x14ac:dyDescent="0.3">
      <c r="A30" s="18">
        <v>25</v>
      </c>
      <c r="B30" s="19" t="s">
        <v>91</v>
      </c>
      <c r="C30" s="19" t="s">
        <v>96</v>
      </c>
      <c r="D30" s="19" t="s">
        <v>97</v>
      </c>
      <c r="E30" s="16" t="s">
        <v>44</v>
      </c>
      <c r="F30" s="17"/>
      <c r="G30" s="16"/>
    </row>
    <row r="31" spans="1:7" ht="31.95" customHeight="1" x14ac:dyDescent="0.3">
      <c r="A31" s="13">
        <v>26</v>
      </c>
      <c r="B31" s="14" t="s">
        <v>98</v>
      </c>
      <c r="C31" s="15" t="s">
        <v>99</v>
      </c>
      <c r="D31" s="15" t="s">
        <v>100</v>
      </c>
      <c r="E31" s="16" t="s">
        <v>44</v>
      </c>
      <c r="F31" s="17"/>
      <c r="G31" s="16"/>
    </row>
    <row r="32" spans="1:7" ht="31.95" customHeight="1" x14ac:dyDescent="0.3">
      <c r="A32" s="18">
        <v>27</v>
      </c>
      <c r="B32" s="19" t="s">
        <v>98</v>
      </c>
      <c r="C32" s="19" t="s">
        <v>101</v>
      </c>
      <c r="D32" s="19" t="s">
        <v>102</v>
      </c>
      <c r="E32" s="16" t="s">
        <v>44</v>
      </c>
      <c r="F32" s="17"/>
      <c r="G32" s="16"/>
    </row>
    <row r="33" spans="1:7" ht="31.95" customHeight="1" x14ac:dyDescent="0.3">
      <c r="A33" s="18">
        <v>28</v>
      </c>
      <c r="B33" s="19" t="s">
        <v>98</v>
      </c>
      <c r="C33" s="19" t="s">
        <v>103</v>
      </c>
      <c r="D33" s="19" t="s">
        <v>104</v>
      </c>
      <c r="E33" s="16" t="s">
        <v>44</v>
      </c>
      <c r="F33" s="17"/>
      <c r="G33" s="16"/>
    </row>
    <row r="34" spans="1:7" ht="31.95" customHeight="1" x14ac:dyDescent="0.3">
      <c r="A34" s="18">
        <v>29</v>
      </c>
      <c r="B34" s="19" t="s">
        <v>98</v>
      </c>
      <c r="C34" s="19" t="s">
        <v>105</v>
      </c>
      <c r="D34" s="19" t="s">
        <v>106</v>
      </c>
      <c r="E34" s="16" t="s">
        <v>44</v>
      </c>
      <c r="F34" s="17"/>
      <c r="G34" s="16"/>
    </row>
  </sheetData>
  <autoFilter ref="A4:G34" xr:uid="{00000000-0009-0000-0000-000001000000}"/>
  <conditionalFormatting sqref="E6:E54">
    <cfRule type="cellIs" dxfId="2" priority="1" operator="equal">
      <formula>"Fail"</formula>
    </cfRule>
    <cfRule type="cellIs" dxfId="1" priority="2" operator="equal">
      <formula>"Pass"</formula>
    </cfRule>
    <cfRule type="cellIs" dxfId="0" priority="3" operator="equal">
      <formula>"Blocked"</formula>
    </cfRule>
  </conditionalFormatting>
  <dataValidations count="2">
    <dataValidation type="list" allowBlank="1" sqref="E6 E7 E8 E9 E10 E11 E12 E13 E14 E15 E16 E17 E18 E19 E20 E21 E22 E23 E24 E25 E26 E27 E28 E29 E30 E31 E32 E33 E34 E35 E36 E37 E38 E39 E40 E41 E42 E43 E44 E45 E46 E47 E48 E49 E50 E51 E52 E53 E54" xr:uid="{00000000-0002-0000-0100-000000000000}">
      <formula1>"Pass,Fail,Blocked,Not tested"</formula1>
    </dataValidation>
    <dataValidation type="list" allowBlank="1" sqref="G6 G7 G8 G9 G10 G11 G12 G13 G14 G15 G16 G17 G18 G19 G20 G21 G22 G23 G24 G25 G26 G27 G28 G29 G30 G31 G32 G33 G34" xr:uid="{00000000-0002-0000-0100-000001000000}">
      <formula1>"Yes,No,N/A"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showGridLines="0" workbookViewId="0">
      <pane ySplit="5" topLeftCell="A6" activePane="bottomLeft" state="frozen"/>
      <selection pane="bottomLeft"/>
    </sheetView>
  </sheetViews>
  <sheetFormatPr defaultRowHeight="14.4" x14ac:dyDescent="0.3"/>
  <cols>
    <col min="1" max="1" width="5" customWidth="1"/>
    <col min="2" max="2" width="20" customWidth="1"/>
    <col min="3" max="3" width="56" customWidth="1"/>
    <col min="4" max="4" width="20" customWidth="1"/>
    <col min="5" max="5" width="46" customWidth="1"/>
  </cols>
  <sheetData>
    <row r="1" spans="1:5" ht="21" x14ac:dyDescent="0.4">
      <c r="A1" s="1" t="s">
        <v>107</v>
      </c>
    </row>
    <row r="2" spans="1:5" x14ac:dyDescent="0.3">
      <c r="A2" s="2" t="s">
        <v>108</v>
      </c>
    </row>
    <row r="5" spans="1:5" x14ac:dyDescent="0.3">
      <c r="A5" s="11" t="s">
        <v>27</v>
      </c>
      <c r="B5" s="11" t="s">
        <v>109</v>
      </c>
      <c r="C5" s="11" t="s">
        <v>110</v>
      </c>
      <c r="D5" s="11" t="s">
        <v>111</v>
      </c>
      <c r="E5" s="11" t="s">
        <v>112</v>
      </c>
    </row>
    <row r="6" spans="1:5" x14ac:dyDescent="0.3">
      <c r="A6" s="20" t="s">
        <v>34</v>
      </c>
      <c r="B6" s="12" t="s">
        <v>113</v>
      </c>
      <c r="C6" s="12" t="s">
        <v>114</v>
      </c>
      <c r="D6" s="12" t="s">
        <v>115</v>
      </c>
      <c r="E6" s="12" t="s">
        <v>116</v>
      </c>
    </row>
    <row r="7" spans="1:5" ht="30" customHeight="1" x14ac:dyDescent="0.3">
      <c r="A7" s="18">
        <v>1</v>
      </c>
      <c r="B7" s="17"/>
      <c r="C7" s="17"/>
      <c r="D7" s="17"/>
      <c r="E7" s="17"/>
    </row>
    <row r="8" spans="1:5" ht="30" customHeight="1" x14ac:dyDescent="0.3">
      <c r="A8" s="18">
        <v>2</v>
      </c>
      <c r="B8" s="17"/>
      <c r="C8" s="17"/>
      <c r="D8" s="17"/>
      <c r="E8" s="17"/>
    </row>
    <row r="9" spans="1:5" ht="30" customHeight="1" x14ac:dyDescent="0.3">
      <c r="A9" s="18">
        <v>3</v>
      </c>
      <c r="B9" s="17"/>
      <c r="C9" s="17"/>
      <c r="D9" s="17"/>
      <c r="E9" s="17"/>
    </row>
    <row r="10" spans="1:5" ht="30" customHeight="1" x14ac:dyDescent="0.3">
      <c r="A10" s="18">
        <v>4</v>
      </c>
      <c r="B10" s="17"/>
      <c r="C10" s="17"/>
      <c r="D10" s="17"/>
      <c r="E10" s="17"/>
    </row>
    <row r="11" spans="1:5" ht="30" customHeight="1" x14ac:dyDescent="0.3">
      <c r="A11" s="18">
        <v>5</v>
      </c>
      <c r="B11" s="17"/>
      <c r="C11" s="17"/>
      <c r="D11" s="17"/>
      <c r="E11" s="17"/>
    </row>
    <row r="12" spans="1:5" ht="30" customHeight="1" x14ac:dyDescent="0.3">
      <c r="A12" s="18">
        <v>6</v>
      </c>
      <c r="B12" s="17"/>
      <c r="C12" s="17"/>
      <c r="D12" s="17"/>
      <c r="E12" s="17"/>
    </row>
    <row r="13" spans="1:5" ht="30" customHeight="1" x14ac:dyDescent="0.3">
      <c r="A13" s="18">
        <v>7</v>
      </c>
      <c r="B13" s="17"/>
      <c r="C13" s="17"/>
      <c r="D13" s="17"/>
      <c r="E13" s="17"/>
    </row>
    <row r="14" spans="1:5" ht="30" customHeight="1" x14ac:dyDescent="0.3">
      <c r="A14" s="18">
        <v>8</v>
      </c>
      <c r="B14" s="17"/>
      <c r="C14" s="17"/>
      <c r="D14" s="17"/>
      <c r="E14" s="17"/>
    </row>
    <row r="15" spans="1:5" ht="30" customHeight="1" x14ac:dyDescent="0.3">
      <c r="A15" s="18">
        <v>9</v>
      </c>
      <c r="B15" s="17"/>
      <c r="C15" s="17"/>
      <c r="D15" s="17"/>
      <c r="E15" s="17"/>
    </row>
    <row r="16" spans="1:5" ht="30" customHeight="1" x14ac:dyDescent="0.3">
      <c r="A16" s="18">
        <v>10</v>
      </c>
      <c r="B16" s="17"/>
      <c r="C16" s="17"/>
      <c r="D16" s="17"/>
      <c r="E16" s="17"/>
    </row>
    <row r="17" spans="1:5" ht="30" customHeight="1" x14ac:dyDescent="0.3">
      <c r="A17" s="18">
        <v>11</v>
      </c>
      <c r="B17" s="17"/>
      <c r="C17" s="17"/>
      <c r="D17" s="17"/>
      <c r="E17" s="17"/>
    </row>
    <row r="18" spans="1:5" ht="30" customHeight="1" x14ac:dyDescent="0.3">
      <c r="A18" s="18">
        <v>12</v>
      </c>
      <c r="B18" s="17"/>
      <c r="C18" s="17"/>
      <c r="D18" s="17"/>
      <c r="E18" s="17"/>
    </row>
    <row r="19" spans="1:5" ht="30" customHeight="1" x14ac:dyDescent="0.3">
      <c r="A19" s="18">
        <v>13</v>
      </c>
      <c r="B19" s="17"/>
      <c r="C19" s="17"/>
      <c r="D19" s="17"/>
      <c r="E19" s="17"/>
    </row>
    <row r="20" spans="1:5" ht="30" customHeight="1" x14ac:dyDescent="0.3">
      <c r="A20" s="18">
        <v>14</v>
      </c>
      <c r="B20" s="17"/>
      <c r="C20" s="17"/>
      <c r="D20" s="17"/>
      <c r="E20" s="17"/>
    </row>
    <row r="21" spans="1:5" ht="30" customHeight="1" x14ac:dyDescent="0.3">
      <c r="A21" s="18">
        <v>15</v>
      </c>
      <c r="B21" s="17"/>
      <c r="C21" s="17"/>
      <c r="D21" s="17"/>
      <c r="E21" s="17"/>
    </row>
  </sheetData>
  <dataValidations count="2">
    <dataValidation type="list" allowBlank="1" sqref="D7 D8 D9 D10 D11 D12 D13 D14 D15 D16 D17 D18 D19 D20 D21" xr:uid="{00000000-0002-0000-0200-000000000000}">
      <formula1>"Would help a lot,Would be nice,Small thing"</formula1>
    </dataValidation>
    <dataValidation type="list" allowBlank="1" sqref="B7 B8 B9 B10 B11 B12 B13 B14 B15 B16 B17 B18 B19 B20 B21" xr:uid="{00000000-0002-0000-0200-000001000000}">
      <formula1>"Login,Dashboard,Add NCR,NCR list,NCR details,Corrective action,Simpro task,Phone use,Other"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Test script</vt: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Gizem Erel | Remax Doors</cp:lastModifiedBy>
  <dcterms:created xsi:type="dcterms:W3CDTF">2026-09-11T00:16:23Z</dcterms:created>
  <dcterms:modified xsi:type="dcterms:W3CDTF">2026-09-11T00:18:51Z</dcterms:modified>
</cp:coreProperties>
</file>